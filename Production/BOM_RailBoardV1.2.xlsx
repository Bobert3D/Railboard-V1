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模板" state="visible" r:id="rId4"/>
    <sheet sheetId="2" name="Field汇总" state="visible" r:id="rId5"/>
  </sheets>
  <calcPr calcId="171027" fullCalcOnLoad="1"/>
</workbook>
</file>

<file path=xl/sharedStrings.xml><?xml version="1.0" encoding="utf-8"?>
<sst xmlns="http://schemas.openxmlformats.org/spreadsheetml/2006/main" count="126" uniqueCount="67">
  <si>
    <t/>
  </si>
  <si>
    <t xml:space="preserve">Bill of Materials </t>
  </si>
  <si>
    <t>BOM_RailBoardV1.2</t>
  </si>
  <si>
    <t>Project Title：</t>
  </si>
  <si>
    <t>solder</t>
  </si>
  <si>
    <t>Variant:</t>
  </si>
  <si>
    <t xml:space="preserve"> </t>
  </si>
  <si>
    <t>Report Time：</t>
  </si>
  <si>
    <t>2026年9月18日 12:12:33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</si>
  <si>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</si>
  <si>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</si>
  <si>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</si>
  <si>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</si>
  <si>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</si>
  <si>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</si>
  <si>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</si>
  <si>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</si>
  <si>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</si>
  <si>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</si>
  <si>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</si>
  <si>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</si>
  <si>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CR2032-2-1</t>
  </si>
  <si>
    <t>BAT1</t>
  </si>
  <si>
    <t>BAT-TH_CR2032-2-1</t>
  </si>
  <si>
    <t>C9900018737</t>
  </si>
  <si>
    <t>LCSC</t>
  </si>
  <si>
    <t>333-2SURD/S530-A3</t>
  </si>
  <si>
    <t>LED2, LED3, LED4, LED5</t>
  </si>
  <si>
    <t>LED-TH_BD5.9-P2.54-RD_RED</t>
  </si>
  <si>
    <t>EVERLIGHT(亿光)</t>
  </si>
  <si>
    <t>C87271</t>
  </si>
  <si>
    <t>2N3904</t>
  </si>
  <si>
    <t>Q2</t>
  </si>
  <si>
    <t>TO-92-3_L4.9-W3.7-P1.27-L</t>
  </si>
  <si>
    <t>BLUE ROCKET(蓝箭)</t>
  </si>
  <si>
    <t>C305395</t>
  </si>
  <si>
    <t>470</t>
  </si>
  <si>
    <t>R1, R2, R3, R4, R5</t>
  </si>
  <si>
    <t>RES-TH_BD2.7-L6.2-P10.20-D0.4</t>
  </si>
  <si>
    <t>MF1/4W-10K±1%-ST52</t>
  </si>
  <si>
    <t>VO(翔胜)</t>
  </si>
  <si>
    <t>TS665CJFS</t>
  </si>
  <si>
    <t>SW1, SW3</t>
  </si>
  <si>
    <t>KEY-TH_4P-L6.0-W6.0-P4.50-LS6.50</t>
  </si>
  <si>
    <t>SHOU HAN(首韩)</t>
  </si>
  <si>
    <t>C2681515</t>
  </si>
  <si>
    <t>3*3Potentiometer-10kΩ20%</t>
  </si>
  <si>
    <t>U4, U5</t>
  </si>
  <si>
    <t>RES-ADJ-SMD_VG039NCH</t>
  </si>
  <si>
    <t>C9900010776</t>
  </si>
  <si>
    <t>Project Title</t>
  </si>
  <si>
    <t>Borard Title</t>
  </si>
  <si>
    <t>Board1</t>
  </si>
  <si>
    <t>Schematic Title</t>
  </si>
  <si>
    <t>Schematic1</t>
  </si>
  <si>
    <t>PCB Title</t>
  </si>
  <si>
    <t>PCB1</t>
  </si>
  <si>
    <t>Variant Name</t>
  </si>
  <si>
    <t>Total Quantity</t>
  </si>
  <si>
    <t>Report Time</t>
  </si>
  <si>
    <t>12:12:33</t>
  </si>
  <si>
    <t>Report Date</t>
  </si>
  <si>
    <t>2026年9月18日</t>
  </si>
  <si>
    <t>Report Date&amp;Time</t>
  </si>
  <si>
    <t>File Name</t>
  </si>
  <si>
    <t>Filter Option</t>
  </si>
  <si>
    <t xml:space="preserve">Add into BOM:no;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</si>
</sst>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;¥-#,##0.00"/>
  </numFmts>
  <fonts count="3" x14ac:knownFonts="1">
    <font>
      <color theme="1"/>
      <family val="2"/>
      <scheme val="minor"/>
      <sz val="11"/>
      <name val="Calibri"/>
    </font>
    <font>
      <charset val="134"/>
      <color theme="1"/>
      <sz val="11"/>
      <name val="等线"/>
    </font>
    <font>
      <b/>
      <charset val="134"/>
      <color theme="1"/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1128346</xdr:colOff>
      <xdr:row>4</xdr:row>
      <xdr:rowOff>105091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 zoomScale="115" zoomScaleNormal="115">
      <selection activeCell="E17" sqref="E17"/>
    </sheetView>
  </sheetViews>
  <sheetFormatPr defaultRowHeight="14.25" outlineLevelRow="0" outlineLevelCol="0" x14ac:dyDescent="0" defaultColWidth="9" customHeight="1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4.375" customWidth="1"/>
    <col min="8" max="8" width="16.875" customWidth="1"/>
    <col min="9" max="9" width="13.375" customWidth="1"/>
    <col min="10" max="10" width="14.375" customWidth="1"/>
    <col min="11" max="11" width="10.25" customWidth="1"/>
  </cols>
  <sheetData>
    <row r="1" spans="1:12" x14ac:dyDescent="0.25">
      <c r="A1" s="1" t="s">
        <v>0</v>
      </c>
      <c r="B1" s="1"/>
      <c r="C1" s="1"/>
      <c r="D1" s="1"/>
      <c r="E1" s="2" t="s">
        <v>1</v>
      </c>
      <c r="F1" s="2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3" t="s">
        <v>0</v>
      </c>
    </row>
    <row r="2" spans="1:12" x14ac:dyDescent="0.25">
      <c r="A2" s="1"/>
      <c r="B2" s="1"/>
      <c r="C2" s="1"/>
      <c r="D2" s="1"/>
      <c r="E2" s="2"/>
      <c r="F2" s="2"/>
      <c r="G2" t="s">
        <v>0</v>
      </c>
      <c r="H2" t="s">
        <v>0</v>
      </c>
      <c r="I2" t="s">
        <v>0</v>
      </c>
      <c r="J2" t="s">
        <v>0</v>
      </c>
      <c r="K2" t="s">
        <v>0</v>
      </c>
      <c r="L2" s="3" t="s">
        <v>0</v>
      </c>
    </row>
    <row r="3" spans="1:12" x14ac:dyDescent="0.25">
      <c r="A3" s="1"/>
      <c r="B3" s="1"/>
      <c r="C3" s="1"/>
      <c r="D3" s="1"/>
      <c r="E3" s="4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3" t="s">
        <v>0</v>
      </c>
    </row>
    <row r="4" spans="1:12" x14ac:dyDescent="0.25">
      <c r="A4" s="1"/>
      <c r="B4" s="1"/>
      <c r="C4" s="1"/>
      <c r="D4" s="1"/>
      <c r="E4" s="4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3" t="s">
        <v>0</v>
      </c>
    </row>
    <row r="5" spans="1:12" x14ac:dyDescent="0.25">
      <c r="A5" s="1"/>
      <c r="B5" s="1"/>
      <c r="C5" s="1"/>
      <c r="D5" s="1"/>
      <c r="E5" s="4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5" t="s">
        <v>0</v>
      </c>
    </row>
    <row r="6" spans="1:12" x14ac:dyDescent="0.25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spans="1:11" x14ac:dyDescent="0.25">
      <c r="A7" s="8">
        <f>ROW()-6</f>
      </c>
      <c r="B7" s="9">
        <v>1</v>
      </c>
      <c r="C7" s="9" t="s">
        <v>21</v>
      </c>
      <c r="D7" s="9" t="s">
        <v>22</v>
      </c>
      <c r="E7" s="9" t="s">
        <v>23</v>
      </c>
      <c r="F7" s="9" t="s">
        <v>0</v>
      </c>
      <c r="G7" s="9" t="s">
        <v>21</v>
      </c>
      <c r="H7" s="9" t="s">
        <v>0</v>
      </c>
      <c r="I7" s="9" t="s">
        <v>24</v>
      </c>
      <c r="J7" s="9" t="s">
        <v>25</v>
      </c>
      <c r="K7" s="9" t="s">
        <v>0</v>
      </c>
    </row>
    <row r="8" spans="1:11" x14ac:dyDescent="0.25">
      <c r="A8" s="8">
        <f>ROW()-6</f>
      </c>
      <c r="B8" s="9">
        <v>4</v>
      </c>
      <c r="C8" s="9" t="s">
        <v>26</v>
      </c>
      <c r="D8" s="9" t="s">
        <v>27</v>
      </c>
      <c r="E8" s="9" t="s">
        <v>28</v>
      </c>
      <c r="F8" s="9" t="s">
        <v>0</v>
      </c>
      <c r="G8" s="9" t="s">
        <v>26</v>
      </c>
      <c r="H8" s="9" t="s">
        <v>29</v>
      </c>
      <c r="I8" s="9" t="s">
        <v>30</v>
      </c>
      <c r="J8" s="9" t="s">
        <v>25</v>
      </c>
      <c r="K8" s="9" t="s">
        <v>0</v>
      </c>
    </row>
    <row r="9" spans="1:11" x14ac:dyDescent="0.25">
      <c r="A9" s="8">
        <f>ROW()-6</f>
      </c>
      <c r="B9" s="9">
        <v>1</v>
      </c>
      <c r="C9" s="9" t="s">
        <v>31</v>
      </c>
      <c r="D9" s="9" t="s">
        <v>32</v>
      </c>
      <c r="E9" s="9" t="s">
        <v>33</v>
      </c>
      <c r="F9" s="9" t="s">
        <v>0</v>
      </c>
      <c r="G9" s="9" t="s">
        <v>31</v>
      </c>
      <c r="H9" s="9" t="s">
        <v>34</v>
      </c>
      <c r="I9" s="9" t="s">
        <v>35</v>
      </c>
      <c r="J9" s="9" t="s">
        <v>25</v>
      </c>
      <c r="K9" s="9" t="s">
        <v>0</v>
      </c>
    </row>
    <row r="10" spans="1:11" x14ac:dyDescent="0.25">
      <c r="A10" s="8">
        <f>ROW()-6</f>
      </c>
      <c r="B10" s="9">
        <v>5</v>
      </c>
      <c r="C10" s="9" t="s">
        <v>36</v>
      </c>
      <c r="D10" s="9" t="s">
        <v>37</v>
      </c>
      <c r="E10" s="9" t="s">
        <v>38</v>
      </c>
      <c r="F10" s="9" t="s">
        <v>36</v>
      </c>
      <c r="G10" s="9" t="s">
        <v>39</v>
      </c>
      <c r="H10" s="9" t="s">
        <v>40</v>
      </c>
      <c r="I10" s="9" t="s">
        <v>0</v>
      </c>
      <c r="J10" s="9" t="s">
        <v>25</v>
      </c>
      <c r="K10" s="9" t="s">
        <v>0</v>
      </c>
    </row>
    <row r="11" spans="1:11" x14ac:dyDescent="0.25">
      <c r="A11" s="8">
        <f>ROW()-6</f>
      </c>
      <c r="B11" s="9">
        <v>2</v>
      </c>
      <c r="C11" s="9" t="s">
        <v>41</v>
      </c>
      <c r="D11" s="9" t="s">
        <v>42</v>
      </c>
      <c r="E11" s="9" t="s">
        <v>43</v>
      </c>
      <c r="F11" s="9" t="s">
        <v>0</v>
      </c>
      <c r="G11" s="9" t="s">
        <v>41</v>
      </c>
      <c r="H11" s="9" t="s">
        <v>44</v>
      </c>
      <c r="I11" s="9" t="s">
        <v>45</v>
      </c>
      <c r="J11" s="9" t="s">
        <v>25</v>
      </c>
      <c r="K11" s="9" t="s">
        <v>0</v>
      </c>
    </row>
    <row r="12" spans="1:11" x14ac:dyDescent="0.25">
      <c r="A12" s="8">
        <f>ROW()-6</f>
      </c>
      <c r="B12" s="9">
        <v>2</v>
      </c>
      <c r="C12" s="9" t="s">
        <v>46</v>
      </c>
      <c r="D12" s="9" t="s">
        <v>47</v>
      </c>
      <c r="E12" s="9" t="s">
        <v>48</v>
      </c>
      <c r="F12" s="9" t="s">
        <v>0</v>
      </c>
      <c r="G12" s="9" t="s">
        <v>46</v>
      </c>
      <c r="H12" s="9" t="s">
        <v>0</v>
      </c>
      <c r="I12" s="9" t="s">
        <v>49</v>
      </c>
      <c r="J12" s="9" t="s">
        <v>25</v>
      </c>
      <c r="K12" s="9" t="s">
        <v>0</v>
      </c>
    </row>
    <row r="13" spans="1:12" x14ac:dyDescent="0.25">
      <c r="A13" s="8">
        <f>ROW()-6</f>
      </c>
      <c r="B13" s="10">
        <f>SUM(L7:L12)</f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</sheetData>
  <mergeCells count="4">
    <mergeCell ref="A1:D5"/>
    <mergeCell ref="E1:E2"/>
    <mergeCell ref="F1:F2"/>
    <mergeCell ref="B13:L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220" zoomScaleNormal="220">
      <selection activeCell="B14" sqref="B14"/>
    </sheetView>
  </sheetViews>
  <sheetFormatPr defaultRowHeight="14.25" outlineLevelRow="0" outlineLevelCol="1" x14ac:dyDescent="0" defaultColWidth="9" customHeight="1"/>
  <cols>
    <col min="1" max="1" width="23.625" customWidth="1"/>
    <col min="2" max="2" width="57.5" customWidth="1"/>
  </cols>
  <sheetData>
    <row r="1" spans="1:2" x14ac:dyDescent="0.25">
      <c r="A1" s="6" t="s">
        <v>50</v>
      </c>
      <c r="B1" s="6" t="s">
        <v>4</v>
      </c>
    </row>
    <row r="2" spans="1:2" x14ac:dyDescent="0.25">
      <c r="A2" s="6" t="s">
        <v>51</v>
      </c>
      <c r="B2" s="6" t="s">
        <v>52</v>
      </c>
    </row>
    <row r="3" spans="1:2" x14ac:dyDescent="0.25">
      <c r="A3" s="6" t="s">
        <v>53</v>
      </c>
      <c r="B3" s="6" t="s">
        <v>54</v>
      </c>
    </row>
    <row r="4" spans="1:2" x14ac:dyDescent="0.25">
      <c r="A4" s="6" t="s">
        <v>55</v>
      </c>
      <c r="B4" s="6" t="s">
        <v>56</v>
      </c>
    </row>
    <row r="5" spans="1:2" x14ac:dyDescent="0.25">
      <c r="A5" s="6" t="s">
        <v>57</v>
      </c>
      <c r="B5" s="6" t="s">
        <v>6</v>
      </c>
    </row>
    <row r="6" spans="1:2" x14ac:dyDescent="0.25">
      <c r="A6" s="6" t="s">
        <v>58</v>
      </c>
      <c r="B6" s="6">
        <v>15</v>
      </c>
    </row>
    <row r="7" spans="1:2" x14ac:dyDescent="0.25">
      <c r="A7" s="6" t="s">
        <v>59</v>
      </c>
      <c r="B7" s="6" t="s">
        <v>60</v>
      </c>
    </row>
    <row r="8" spans="1:2" x14ac:dyDescent="0.25">
      <c r="A8" s="6" t="s">
        <v>61</v>
      </c>
      <c r="B8" s="6" t="s">
        <v>62</v>
      </c>
    </row>
    <row r="9" spans="1:2" x14ac:dyDescent="0.25">
      <c r="A9" s="6" t="s">
        <v>63</v>
      </c>
      <c r="B9" s="6" t="s">
        <v>8</v>
      </c>
    </row>
    <row r="10" spans="1:2" x14ac:dyDescent="0.25">
      <c r="A10" s="6" t="s">
        <v>64</v>
      </c>
      <c r="B10" s="6" t="s">
        <v>2</v>
      </c>
    </row>
    <row r="11" spans="1:2" x14ac:dyDescent="0.25">
      <c r="A11" s="6" t="s">
        <v>65</v>
      </c>
      <c r="B11" s="6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1722566156976</cp:lastModifiedBy>
  <dcterms:created xsi:type="dcterms:W3CDTF">2024-08-02T02:42:32Z</dcterms:created>
  <dcterms:modified xsi:type="dcterms:W3CDTF">2026-09-18T18:12:33Z</dcterms:modified>
</cp:coreProperties>
</file>